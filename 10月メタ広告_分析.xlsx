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所見と提案" sheetId="2" state="visible" r:id="rId4"/>
    <sheet name="元データ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WenQuanYi Zen Hei"/>
            <family val="2"/>
          </rPr>
          <t xml:space="preserve">各広告のリーチを単純合計した値。広告間で重複している人がいる可能性あり。</t>
        </r>
      </text>
    </comment>
  </commentList>
</comments>
</file>

<file path=xl/sharedStrings.xml><?xml version="1.0" encoding="utf-8"?>
<sst xmlns="http://schemas.openxmlformats.org/spreadsheetml/2006/main" count="139" uniqueCount="75">
  <si>
    <r>
      <rPr>
        <b val="true"/>
        <sz val="16"/>
        <color rgb="FF1F4E78"/>
        <rFont val="Meiryo UI"/>
        <family val="0"/>
        <charset val="1"/>
      </rPr>
      <t xml:space="preserve">10</t>
    </r>
    <r>
      <rPr>
        <b val="true"/>
        <sz val="16"/>
        <color rgb="FF1F4E78"/>
        <rFont val="WenQuanYi Zen Hei"/>
        <family val="2"/>
      </rPr>
      <t xml:space="preserve">月 メタ広告 分析レポート</t>
    </r>
  </si>
  <si>
    <r>
      <rPr>
        <sz val="9"/>
        <color rgb="FF595959"/>
        <rFont val="WenQuanYi Zen Hei"/>
        <family val="2"/>
      </rPr>
      <t xml:space="preserve">配信期間：</t>
    </r>
    <r>
      <rPr>
        <sz val="9"/>
        <color rgb="FF595959"/>
        <rFont val="Meiryo UI"/>
        <family val="0"/>
        <charset val="1"/>
      </rPr>
      <t xml:space="preserve">2026/10/23</t>
    </r>
    <r>
      <rPr>
        <sz val="9"/>
        <color rgb="FF595959"/>
        <rFont val="WenQuanYi Zen Hei"/>
        <family val="2"/>
      </rPr>
      <t xml:space="preserve">〜</t>
    </r>
    <r>
      <rPr>
        <sz val="9"/>
        <color rgb="FF595959"/>
        <rFont val="Meiryo UI"/>
        <family val="0"/>
        <charset val="1"/>
      </rPr>
      <t xml:space="preserve">10/26</t>
    </r>
    <r>
      <rPr>
        <sz val="9"/>
        <color rgb="FF595959"/>
        <rFont val="WenQuanYi Zen Hei"/>
        <family val="2"/>
      </rPr>
      <t xml:space="preserve">（レポート期間 </t>
    </r>
    <r>
      <rPr>
        <sz val="9"/>
        <color rgb="FF595959"/>
        <rFont val="Meiryo UI"/>
        <family val="0"/>
        <charset val="1"/>
      </rPr>
      <t xml:space="preserve">10/1</t>
    </r>
    <r>
      <rPr>
        <sz val="9"/>
        <color rgb="FF595959"/>
        <rFont val="WenQuanYi Zen Hei"/>
        <family val="2"/>
      </rPr>
      <t xml:space="preserve">〜</t>
    </r>
    <r>
      <rPr>
        <sz val="9"/>
        <color rgb="FF595959"/>
        <rFont val="Meiryo UI"/>
        <family val="0"/>
        <charset val="1"/>
      </rPr>
      <t xml:space="preserve">10/27</t>
    </r>
    <r>
      <rPr>
        <sz val="9"/>
        <color rgb="FF595959"/>
        <rFont val="WenQuanYi Zen Hei"/>
        <family val="2"/>
      </rPr>
      <t xml:space="preserve">）／成果指標：ランディングページビュー（</t>
    </r>
    <r>
      <rPr>
        <sz val="9"/>
        <color rgb="FF595959"/>
        <rFont val="Meiryo UI"/>
        <family val="0"/>
        <charset val="1"/>
      </rPr>
      <t xml:space="preserve">LPV</t>
    </r>
    <r>
      <rPr>
        <sz val="9"/>
        <color rgb="FF595959"/>
        <rFont val="WenQuanYi Zen Hei"/>
        <family val="2"/>
      </rPr>
      <t xml:space="preserve">）</t>
    </r>
  </si>
  <si>
    <t xml:space="preserve">青字＝広告マネージャの実績値（入力値）、黒字＝計算式</t>
  </si>
  <si>
    <t xml:space="preserve">広告</t>
  </si>
  <si>
    <t xml:space="preserve">リーチ</t>
  </si>
  <si>
    <t xml:space="preserve">インプレッション</t>
  </si>
  <si>
    <r>
      <rPr>
        <b val="true"/>
        <sz val="11"/>
        <color rgb="FFFFFFFF"/>
        <rFont val="Meiryo UI"/>
        <family val="0"/>
        <charset val="1"/>
      </rPr>
      <t xml:space="preserve">LPV</t>
    </r>
    <r>
      <rPr>
        <b val="true"/>
        <sz val="11"/>
        <color rgb="FFFFFFFF"/>
        <rFont val="WenQuanYi Zen Hei"/>
        <family val="2"/>
      </rPr>
      <t xml:space="preserve">（結果）</t>
    </r>
  </si>
  <si>
    <t xml:space="preserve">消化金額（円）</t>
  </si>
  <si>
    <r>
      <rPr>
        <b val="true"/>
        <sz val="11"/>
        <color rgb="FFFFFFFF"/>
        <rFont val="Meiryo UI"/>
        <family val="0"/>
        <charset val="1"/>
      </rPr>
      <t xml:space="preserve">LPV</t>
    </r>
    <r>
      <rPr>
        <b val="true"/>
        <sz val="11"/>
        <color rgb="FFFFFFFF"/>
        <rFont val="WenQuanYi Zen Hei"/>
        <family val="2"/>
      </rPr>
      <t xml:space="preserve">単価（円）</t>
    </r>
  </si>
  <si>
    <r>
      <rPr>
        <b val="true"/>
        <sz val="11"/>
        <color rgb="FFFFFFFF"/>
        <rFont val="Meiryo UI"/>
        <family val="0"/>
        <charset val="1"/>
      </rPr>
      <t xml:space="preserve">CPM</t>
    </r>
    <r>
      <rPr>
        <b val="true"/>
        <sz val="11"/>
        <color rgb="FFFFFFFF"/>
        <rFont val="WenQuanYi Zen Hei"/>
        <family val="2"/>
      </rPr>
      <t xml:space="preserve">（円）</t>
    </r>
  </si>
  <si>
    <r>
      <rPr>
        <b val="true"/>
        <sz val="11"/>
        <color rgb="FFFFFFFF"/>
        <rFont val="WenQuanYi Zen Hei"/>
        <family val="2"/>
      </rPr>
      <t xml:space="preserve">表示→</t>
    </r>
    <r>
      <rPr>
        <b val="true"/>
        <sz val="11"/>
        <color rgb="FFFFFFFF"/>
        <rFont val="Meiryo UI"/>
        <family val="0"/>
        <charset val="1"/>
      </rPr>
      <t xml:space="preserve">LPV</t>
    </r>
    <r>
      <rPr>
        <b val="true"/>
        <sz val="11"/>
        <color rgb="FFFFFFFF"/>
        <rFont val="WenQuanYi Zen Hei"/>
        <family val="2"/>
      </rPr>
      <t xml:space="preserve">率</t>
    </r>
  </si>
  <si>
    <t xml:space="preserve">フリークエンシー</t>
  </si>
  <si>
    <t xml:space="preserve">予算シェア</t>
  </si>
  <si>
    <r>
      <rPr>
        <b val="true"/>
        <sz val="11"/>
        <color rgb="FFFFFFFF"/>
        <rFont val="Meiryo UI"/>
        <family val="0"/>
        <charset val="1"/>
      </rPr>
      <t xml:space="preserve">LPV</t>
    </r>
    <r>
      <rPr>
        <b val="true"/>
        <sz val="11"/>
        <color rgb="FFFFFFFF"/>
        <rFont val="WenQuanYi Zen Hei"/>
        <family val="2"/>
      </rPr>
      <t xml:space="preserve">シェア</t>
    </r>
  </si>
  <si>
    <t xml:space="preserve">台灣居民・免費招待 ①</t>
  </si>
  <si>
    <t xml:space="preserve">台灣居民・免費招待 ②</t>
  </si>
  <si>
    <t xml:space="preserve">台灣居民・免費招待 ③</t>
  </si>
  <si>
    <r>
      <rPr>
        <sz val="11"/>
        <rFont val="Meiryo UI"/>
        <family val="0"/>
        <charset val="1"/>
      </rPr>
      <t xml:space="preserve">22</t>
    </r>
    <r>
      <rPr>
        <sz val="11"/>
        <rFont val="WenQuanYi Zen Hei"/>
        <family val="2"/>
      </rPr>
      <t xml:space="preserve">年のベストセラー</t>
    </r>
  </si>
  <si>
    <t xml:space="preserve">合計</t>
  </si>
  <si>
    <r>
      <rPr>
        <b val="true"/>
        <sz val="11"/>
        <rFont val="WenQuanYi Zen Hei"/>
        <family val="2"/>
      </rPr>
      <t xml:space="preserve">参考：台湾招待 </t>
    </r>
    <r>
      <rPr>
        <b val="true"/>
        <sz val="11"/>
        <rFont val="Meiryo UI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本の合計</t>
    </r>
  </si>
  <si>
    <t xml:space="preserve">LPV</t>
  </si>
  <si>
    <r>
      <rPr>
        <sz val="11"/>
        <rFont val="Meiryo UI"/>
        <family val="0"/>
        <charset val="1"/>
      </rPr>
      <t xml:space="preserve">LPV</t>
    </r>
    <r>
      <rPr>
        <sz val="11"/>
        <rFont val="WenQuanYi Zen Hei"/>
        <family val="2"/>
      </rPr>
      <t xml:space="preserve">単価（円）</t>
    </r>
  </si>
  <si>
    <r>
      <rPr>
        <sz val="11"/>
        <rFont val="WenQuanYi Zen Hei"/>
        <family val="2"/>
      </rPr>
      <t xml:space="preserve">ベストセラー広告との</t>
    </r>
    <r>
      <rPr>
        <sz val="11"/>
        <rFont val="Meiryo UI"/>
        <family val="0"/>
        <charset val="1"/>
      </rPr>
      <t xml:space="preserve">LPV</t>
    </r>
    <r>
      <rPr>
        <sz val="11"/>
        <rFont val="WenQuanYi Zen Hei"/>
        <family val="2"/>
      </rPr>
      <t xml:space="preserve">単価の差（倍）</t>
    </r>
  </si>
  <si>
    <r>
      <rPr>
        <sz val="11"/>
        <rFont val="WenQuanYi Zen Hei"/>
        <family val="2"/>
      </rPr>
      <t xml:space="preserve">ベストセラー予算を台湾①の単価で使った場合の</t>
    </r>
    <r>
      <rPr>
        <sz val="11"/>
        <rFont val="Meiryo UI"/>
        <family val="0"/>
        <charset val="1"/>
      </rPr>
      <t xml:space="preserve">LPV</t>
    </r>
    <r>
      <rPr>
        <sz val="11"/>
        <rFont val="WenQuanYi Zen Hei"/>
        <family val="2"/>
      </rPr>
      <t xml:space="preserve">（単純試算）</t>
    </r>
  </si>
  <si>
    <t xml:space="preserve">※予算を増やすと効率は下がるため、実際はこれより少なくなる見込み</t>
  </si>
  <si>
    <t xml:space="preserve">所見と提案</t>
  </si>
  <si>
    <t xml:space="preserve">分かったこと</t>
  </si>
  <si>
    <r>
      <rPr>
        <b val="true"/>
        <sz val="11"/>
        <rFont val="Meiryo UI"/>
        <family val="0"/>
        <charset val="1"/>
      </rPr>
      <t xml:space="preserve">1. </t>
    </r>
    <r>
      <rPr>
        <b val="true"/>
        <sz val="11"/>
        <rFont val="WenQuanYi Zen Hei"/>
        <family val="2"/>
      </rPr>
      <t xml:space="preserve">台湾招待広告が好調</t>
    </r>
  </si>
  <si>
    <r>
      <rPr>
        <sz val="11"/>
        <rFont val="Meiryo UI"/>
        <family val="0"/>
        <charset val="1"/>
      </rPr>
      <t xml:space="preserve">3</t>
    </r>
    <r>
      <rPr>
        <sz val="11"/>
        <rFont val="WenQuanYi Zen Hei"/>
        <family val="2"/>
      </rPr>
      <t xml:space="preserve">本合計の</t>
    </r>
    <r>
      <rPr>
        <sz val="11"/>
        <rFont val="Meiryo UI"/>
        <family val="0"/>
        <charset val="1"/>
      </rPr>
      <t xml:space="preserve">LPV</t>
    </r>
    <r>
      <rPr>
        <sz val="11"/>
        <rFont val="WenQuanYi Zen Hei"/>
        <family val="2"/>
      </rPr>
      <t xml:space="preserve">単価は約</t>
    </r>
    <r>
      <rPr>
        <sz val="11"/>
        <rFont val="Meiryo UI"/>
        <family val="0"/>
        <charset val="1"/>
      </rPr>
      <t xml:space="preserve">¥8.6</t>
    </r>
    <r>
      <rPr>
        <sz val="11"/>
        <rFont val="WenQuanYi Zen Hei"/>
        <family val="2"/>
      </rPr>
      <t xml:space="preserve">。全体の</t>
    </r>
    <r>
      <rPr>
        <sz val="11"/>
        <rFont val="Meiryo UI"/>
        <family val="0"/>
        <charset val="1"/>
      </rPr>
      <t xml:space="preserve">LPV</t>
    </r>
    <r>
      <rPr>
        <sz val="11"/>
        <rFont val="WenQuanYi Zen Hei"/>
        <family val="2"/>
      </rPr>
      <t xml:space="preserve">の約</t>
    </r>
    <r>
      <rPr>
        <sz val="11"/>
        <rFont val="Meiryo UI"/>
        <family val="0"/>
        <charset val="1"/>
      </rPr>
      <t xml:space="preserve">8</t>
    </r>
    <r>
      <rPr>
        <sz val="11"/>
        <rFont val="WenQuanYi Zen Hei"/>
        <family val="2"/>
      </rPr>
      <t xml:space="preserve">割をこの</t>
    </r>
    <r>
      <rPr>
        <sz val="11"/>
        <rFont val="Meiryo UI"/>
        <family val="0"/>
        <charset val="1"/>
      </rPr>
      <t xml:space="preserve">3</t>
    </r>
    <r>
      <rPr>
        <sz val="11"/>
        <rFont val="WenQuanYi Zen Hei"/>
        <family val="2"/>
      </rPr>
      <t xml:space="preserve">本が獲得。「無料招待」というメリットの分かりやすさと、台湾向け配信の表示単価の安さが効いていると考えられる。</t>
    </r>
  </si>
  <si>
    <r>
      <rPr>
        <b val="true"/>
        <sz val="11"/>
        <rFont val="Meiryo UI"/>
        <family val="0"/>
        <charset val="1"/>
      </rPr>
      <t xml:space="preserve">2. </t>
    </r>
    <r>
      <rPr>
        <b val="true"/>
        <sz val="11"/>
        <rFont val="WenQuanYi Zen Hei"/>
        <family val="2"/>
      </rPr>
      <t xml:space="preserve">ベストセラー広告は費用の割に成果が少ない</t>
    </r>
  </si>
  <si>
    <r>
      <rPr>
        <sz val="11"/>
        <rFont val="WenQuanYi Zen Hei"/>
        <family val="2"/>
      </rPr>
      <t xml:space="preserve">予算の約</t>
    </r>
    <r>
      <rPr>
        <sz val="11"/>
        <rFont val="Meiryo UI"/>
        <family val="0"/>
        <charset val="1"/>
      </rPr>
      <t xml:space="preserve">1/3</t>
    </r>
    <r>
      <rPr>
        <sz val="11"/>
        <rFont val="WenQuanYi Zen Hei"/>
        <family val="2"/>
      </rPr>
      <t xml:space="preserve">を使ったが、</t>
    </r>
    <r>
      <rPr>
        <sz val="11"/>
        <rFont val="Meiryo UI"/>
        <family val="0"/>
        <charset val="1"/>
      </rPr>
      <t xml:space="preserve">LPV</t>
    </r>
    <r>
      <rPr>
        <sz val="11"/>
        <rFont val="WenQuanYi Zen Hei"/>
        <family val="2"/>
      </rPr>
      <t xml:space="preserve">は全体の約</t>
    </r>
    <r>
      <rPr>
        <sz val="11"/>
        <rFont val="Meiryo UI"/>
        <family val="0"/>
        <charset val="1"/>
      </rPr>
      <t xml:space="preserve">18%</t>
    </r>
    <r>
      <rPr>
        <sz val="11"/>
        <rFont val="WenQuanYi Zen Hei"/>
        <family val="2"/>
      </rPr>
      <t xml:space="preserve">。</t>
    </r>
    <r>
      <rPr>
        <sz val="11"/>
        <rFont val="Meiryo UI"/>
        <family val="0"/>
        <charset val="1"/>
      </rPr>
      <t xml:space="preserve">LPV</t>
    </r>
    <r>
      <rPr>
        <sz val="11"/>
        <rFont val="WenQuanYi Zen Hei"/>
        <family val="2"/>
      </rPr>
      <t xml:space="preserve">単価</t>
    </r>
    <r>
      <rPr>
        <sz val="11"/>
        <rFont val="Meiryo UI"/>
        <family val="0"/>
        <charset val="1"/>
      </rPr>
      <t xml:space="preserve">¥19.5</t>
    </r>
    <r>
      <rPr>
        <sz val="11"/>
        <rFont val="WenQuanYi Zen Hei"/>
        <family val="2"/>
      </rPr>
      <t xml:space="preserve">は台湾①の約</t>
    </r>
    <r>
      <rPr>
        <sz val="11"/>
        <rFont val="Meiryo UI"/>
        <family val="0"/>
        <charset val="1"/>
      </rPr>
      <t xml:space="preserve">2.6</t>
    </r>
    <r>
      <rPr>
        <sz val="11"/>
        <rFont val="WenQuanYi Zen Hei"/>
        <family val="2"/>
      </rPr>
      <t xml:space="preserve">倍。表示単価が高く、表示→</t>
    </r>
    <r>
      <rPr>
        <sz val="11"/>
        <rFont val="Meiryo UI"/>
        <family val="0"/>
        <charset val="1"/>
      </rPr>
      <t xml:space="preserve">LPV</t>
    </r>
    <r>
      <rPr>
        <sz val="11"/>
        <rFont val="WenQuanYi Zen Hei"/>
        <family val="2"/>
      </rPr>
      <t xml:space="preserve">率（</t>
    </r>
    <r>
      <rPr>
        <sz val="11"/>
        <rFont val="Meiryo UI"/>
        <family val="0"/>
        <charset val="1"/>
      </rPr>
      <t xml:space="preserve">2.22%</t>
    </r>
    <r>
      <rPr>
        <sz val="11"/>
        <rFont val="WenQuanYi Zen Hei"/>
        <family val="2"/>
      </rPr>
      <t xml:space="preserve">）も最も低い。投稿内容または配信先が合っていない可能性。</t>
    </r>
  </si>
  <si>
    <r>
      <rPr>
        <b val="true"/>
        <sz val="11"/>
        <rFont val="Meiryo UI"/>
        <family val="0"/>
        <charset val="1"/>
      </rPr>
      <t xml:space="preserve">3. </t>
    </r>
    <r>
      <rPr>
        <b val="true"/>
        <sz val="11"/>
        <rFont val="WenQuanYi Zen Hei"/>
        <family val="2"/>
      </rPr>
      <t xml:space="preserve">台湾の</t>
    </r>
    <r>
      <rPr>
        <b val="true"/>
        <sz val="11"/>
        <rFont val="Meiryo UI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本でも差がある</t>
    </r>
  </si>
  <si>
    <r>
      <rPr>
        <sz val="11"/>
        <rFont val="Meiryo UI"/>
        <family val="0"/>
        <charset val="1"/>
      </rPr>
      <t xml:space="preserve">LPV</t>
    </r>
    <r>
      <rPr>
        <sz val="11"/>
        <rFont val="WenQuanYi Zen Hei"/>
        <family val="2"/>
      </rPr>
      <t xml:space="preserve">単価は</t>
    </r>
    <r>
      <rPr>
        <sz val="11"/>
        <rFont val="Meiryo UI"/>
        <family val="0"/>
        <charset val="1"/>
      </rPr>
      <t xml:space="preserve">¥7.5</t>
    </r>
    <r>
      <rPr>
        <sz val="11"/>
        <rFont val="WenQuanYi Zen Hei"/>
        <family val="2"/>
      </rPr>
      <t xml:space="preserve">〜</t>
    </r>
    <r>
      <rPr>
        <sz val="11"/>
        <rFont val="Meiryo UI"/>
        <family val="0"/>
        <charset val="1"/>
      </rPr>
      <t xml:space="preserve">¥10.1</t>
    </r>
    <r>
      <rPr>
        <sz val="11"/>
        <rFont val="WenQuanYi Zen Hei"/>
        <family val="2"/>
      </rPr>
      <t xml:space="preserve">で約</t>
    </r>
    <r>
      <rPr>
        <sz val="11"/>
        <rFont val="Meiryo UI"/>
        <family val="0"/>
        <charset val="1"/>
      </rPr>
      <t xml:space="preserve">1.3</t>
    </r>
    <r>
      <rPr>
        <sz val="11"/>
        <rFont val="WenQuanYi Zen Hei"/>
        <family val="2"/>
      </rPr>
      <t xml:space="preserve">倍の差。画像・文章・配信先のどれが違うかを確認し、①を勝ちパターンとして次回に活かす。</t>
    </r>
  </si>
  <si>
    <r>
      <rPr>
        <b val="true"/>
        <sz val="11"/>
        <rFont val="Meiryo UI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フリークエンシーは低い</t>
    </r>
  </si>
  <si>
    <r>
      <rPr>
        <sz val="11"/>
        <rFont val="Meiryo UI"/>
        <family val="0"/>
        <charset val="1"/>
      </rPr>
      <t xml:space="preserve">1</t>
    </r>
    <r>
      <rPr>
        <sz val="11"/>
        <rFont val="WenQuanYi Zen Hei"/>
        <family val="2"/>
      </rPr>
      <t xml:space="preserve">人あたりの表示回数は</t>
    </r>
    <r>
      <rPr>
        <sz val="11"/>
        <rFont val="Meiryo UI"/>
        <family val="0"/>
        <charset val="1"/>
      </rPr>
      <t xml:space="preserve">1.2</t>
    </r>
    <r>
      <rPr>
        <sz val="11"/>
        <rFont val="WenQuanYi Zen Hei"/>
        <family val="2"/>
      </rPr>
      <t xml:space="preserve">〜</t>
    </r>
    <r>
      <rPr>
        <sz val="11"/>
        <rFont val="Meiryo UI"/>
        <family val="0"/>
        <charset val="1"/>
      </rPr>
      <t xml:space="preserve">1.4</t>
    </r>
    <r>
      <rPr>
        <sz val="11"/>
        <rFont val="WenQuanYi Zen Hei"/>
        <family val="2"/>
      </rPr>
      <t xml:space="preserve">回。同じ人への出しすぎはなく、配信を延ばす余地がある。</t>
    </r>
  </si>
  <si>
    <t xml:space="preserve">次回への提案</t>
  </si>
  <si>
    <t xml:space="preserve">予算の配分を見直す</t>
  </si>
  <si>
    <r>
      <rPr>
        <sz val="11"/>
        <rFont val="WenQuanYi Zen Hei"/>
        <family val="2"/>
      </rPr>
      <t xml:space="preserve">ベストセラー広告の予算を台湾①・③に回す。単純試算では同額で約</t>
    </r>
    <r>
      <rPr>
        <sz val="11"/>
        <rFont val="Meiryo UI"/>
        <family val="0"/>
        <charset val="1"/>
      </rPr>
      <t xml:space="preserve">590</t>
    </r>
    <r>
      <rPr>
        <sz val="11"/>
        <rFont val="WenQuanYi Zen Hei"/>
        <family val="2"/>
      </rPr>
      <t xml:space="preserve">件の</t>
    </r>
    <r>
      <rPr>
        <sz val="11"/>
        <rFont val="Meiryo UI"/>
        <family val="0"/>
        <charset val="1"/>
      </rPr>
      <t xml:space="preserve">LPV</t>
    </r>
    <r>
      <rPr>
        <sz val="11"/>
        <rFont val="WenQuanYi Zen Hei"/>
        <family val="2"/>
      </rPr>
      <t xml:space="preserve">（現状</t>
    </r>
    <r>
      <rPr>
        <sz val="11"/>
        <rFont val="Meiryo UI"/>
        <family val="0"/>
        <charset val="1"/>
      </rPr>
      <t xml:space="preserve">227</t>
    </r>
    <r>
      <rPr>
        <sz val="11"/>
        <rFont val="WenQuanYi Zen Hei"/>
        <family val="2"/>
      </rPr>
      <t xml:space="preserve">件）。ただし予算増で効率は下がる。</t>
    </r>
  </si>
  <si>
    <t xml:space="preserve">ベストセラー広告を作り直す</t>
  </si>
  <si>
    <t xml:space="preserve">残す場合は画像・冒頭の一文を変える、または配信先を著書を知っている人（既存読者・フォロワー）に絞ってテストする。</t>
  </si>
  <si>
    <t xml:space="preserve">申込み・購入数で効果を測る</t>
  </si>
  <si>
    <r>
      <rPr>
        <sz val="11"/>
        <rFont val="Meiryo UI"/>
        <family val="0"/>
        <charset val="1"/>
      </rPr>
      <t xml:space="preserve">LPV</t>
    </r>
    <r>
      <rPr>
        <sz val="11"/>
        <rFont val="WenQuanYi Zen Hei"/>
        <family val="2"/>
      </rPr>
      <t xml:space="preserve">はページを見た人数。台湾招待は申込み数、書籍は購入数で</t>
    </r>
    <r>
      <rPr>
        <sz val="11"/>
        <rFont val="Meiryo UI"/>
        <family val="0"/>
        <charset val="1"/>
      </rPr>
      <t xml:space="preserve">1</t>
    </r>
    <r>
      <rPr>
        <sz val="11"/>
        <rFont val="WenQuanYi Zen Hei"/>
        <family val="2"/>
      </rPr>
      <t xml:space="preserve">件あたりの費用を測るため、メタピクセルで申込み完了ページを計測する。</t>
    </r>
  </si>
  <si>
    <t xml:space="preserve">データの注意点</t>
  </si>
  <si>
    <t xml:space="preserve">広告名について</t>
  </si>
  <si>
    <r>
      <rPr>
        <sz val="11"/>
        <rFont val="WenQuanYi Zen Hei"/>
        <family val="2"/>
      </rPr>
      <t xml:space="preserve">台湾招待の</t>
    </r>
    <r>
      <rPr>
        <sz val="11"/>
        <rFont val="Meiryo UI"/>
        <family val="0"/>
        <charset val="1"/>
      </rPr>
      <t xml:space="preserve">3</t>
    </r>
    <r>
      <rPr>
        <sz val="11"/>
        <rFont val="WenQuanYi Zen Hei"/>
        <family val="2"/>
      </rPr>
      <t xml:space="preserve">本は広告名が同じため、元データの行の順に①〜③と番号を付けた。</t>
    </r>
  </si>
  <si>
    <t xml:space="preserve">リーチ合計について</t>
  </si>
  <si>
    <t xml:space="preserve">各広告のリーチを単純合計した値で、重複している人がいる可能性あり。</t>
  </si>
  <si>
    <t xml:space="preserve">不足しているデータ</t>
  </si>
  <si>
    <t xml:space="preserve">クリック数・クリック率・申込み数が書き出しに含まれていない。含めて書き出し直せば、より詳しく分析できる。</t>
  </si>
  <si>
    <t xml:space="preserve">キャンペーン名</t>
  </si>
  <si>
    <t xml:space="preserve">広告セット名</t>
  </si>
  <si>
    <t xml:space="preserve">配信ステータス</t>
  </si>
  <si>
    <t xml:space="preserve">配信レベル</t>
  </si>
  <si>
    <t xml:space="preserve">アトリビューション設定</t>
  </si>
  <si>
    <t xml:space="preserve">結果タイプ</t>
  </si>
  <si>
    <t xml:space="preserve">結果</t>
  </si>
  <si>
    <r>
      <rPr>
        <b val="true"/>
        <sz val="11"/>
        <color rgb="FFFFFFFF"/>
        <rFont val="WenQuanYi Zen Hei"/>
        <family val="2"/>
      </rPr>
      <t xml:space="preserve">消化金額 </t>
    </r>
    <r>
      <rPr>
        <b val="true"/>
        <sz val="11"/>
        <color rgb="FFFFFFFF"/>
        <rFont val="Meiryo UI"/>
        <family val="0"/>
        <charset val="1"/>
      </rPr>
      <t xml:space="preserve">(JPY)</t>
    </r>
  </si>
  <si>
    <t xml:space="preserve">結果の単価</t>
  </si>
  <si>
    <t xml:space="preserve">開始</t>
  </si>
  <si>
    <t xml:space="preserve">終了日時</t>
  </si>
  <si>
    <t xml:space="preserve">レポート開始日</t>
  </si>
  <si>
    <t xml:space="preserve">レポート終了日</t>
  </si>
  <si>
    <r>
      <rPr>
        <sz val="11"/>
        <rFont val="WenQuanYi Zen Hei"/>
        <family val="2"/>
      </rPr>
      <t xml:space="preserve">投稿</t>
    </r>
    <r>
      <rPr>
        <sz val="11"/>
        <rFont val="Meiryo UI"/>
        <family val="0"/>
        <charset val="1"/>
      </rPr>
      <t xml:space="preserve">: </t>
    </r>
    <r>
      <rPr>
        <sz val="11"/>
        <rFont val="WenQuanYi Zen Hei"/>
        <family val="2"/>
      </rPr>
      <t xml:space="preserve">「</t>
    </r>
    <r>
      <rPr>
        <sz val="11"/>
        <rFont val="Meiryo UI"/>
        <family val="0"/>
        <charset val="1"/>
      </rPr>
      <t xml:space="preserve">22</t>
    </r>
    <r>
      <rPr>
        <sz val="11"/>
        <rFont val="WenQuanYi Zen Hei"/>
        <family val="2"/>
      </rPr>
      <t xml:space="preserve">年のベストセラー」</t>
    </r>
  </si>
  <si>
    <t xml:space="preserve">All</t>
  </si>
  <si>
    <t xml:space="preserve">recently_completed</t>
  </si>
  <si>
    <t xml:space="preserve">campaign</t>
  </si>
  <si>
    <r>
      <rPr>
        <sz val="11"/>
        <rFont val="WenQuanYi Zen Hei"/>
        <family val="2"/>
      </rPr>
      <t xml:space="preserve">クリックから</t>
    </r>
    <r>
      <rPr>
        <sz val="11"/>
        <rFont val="Meiryo UI"/>
        <family val="0"/>
        <charset val="1"/>
      </rPr>
      <t xml:space="preserve">7</t>
    </r>
    <r>
      <rPr>
        <sz val="11"/>
        <rFont val="WenQuanYi Zen Hei"/>
        <family val="2"/>
      </rPr>
      <t xml:space="preserve">日間、または表示から</t>
    </r>
    <r>
      <rPr>
        <sz val="11"/>
        <rFont val="Meiryo UI"/>
        <family val="0"/>
        <charset val="1"/>
      </rPr>
      <t xml:space="preserve">1</t>
    </r>
    <r>
      <rPr>
        <sz val="11"/>
        <rFont val="WenQuanYi Zen Hei"/>
        <family val="2"/>
      </rPr>
      <t xml:space="preserve">日間</t>
    </r>
  </si>
  <si>
    <t xml:space="preserve">ランディングページビュー</t>
  </si>
  <si>
    <t xml:space="preserve">2026-10-01</t>
  </si>
  <si>
    <t xml:space="preserve">2026-10-27</t>
  </si>
  <si>
    <t xml:space="preserve">adset</t>
  </si>
  <si>
    <t xml:space="preserve">2026-10-23</t>
  </si>
  <si>
    <t xml:space="preserve">2026-10-26</t>
  </si>
  <si>
    <r>
      <rPr>
        <sz val="11"/>
        <rFont val="WenQuanYi Zen Hei"/>
        <family val="2"/>
      </rPr>
      <t xml:space="preserve">投稿</t>
    </r>
    <r>
      <rPr>
        <sz val="11"/>
        <rFont val="Meiryo UI"/>
        <family val="0"/>
        <charset val="1"/>
      </rPr>
      <t xml:space="preserve">: </t>
    </r>
    <r>
      <rPr>
        <sz val="11"/>
        <rFont val="WenQuanYi Zen Hei"/>
        <family val="2"/>
      </rPr>
      <t xml:space="preserve">「台灣居民・免費招待」</t>
    </r>
  </si>
  <si>
    <r>
      <rPr>
        <sz val="9"/>
        <color rgb="FF595959"/>
        <rFont val="WenQuanYi Zen Hei"/>
        <family val="2"/>
      </rPr>
      <t xml:space="preserve">出典：ご提供の「</t>
    </r>
    <r>
      <rPr>
        <sz val="9"/>
        <color rgb="FF595959"/>
        <rFont val="Meiryo UI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月メタ広告」書き出しファイル（</t>
    </r>
    <r>
      <rPr>
        <sz val="9"/>
        <color rgb="FF595959"/>
        <rFont val="Meiryo UI"/>
        <family val="0"/>
        <charset val="1"/>
      </rPr>
      <t xml:space="preserve">Raw Data Report</t>
    </r>
    <r>
      <rPr>
        <sz val="9"/>
        <color rgb="FF595959"/>
        <rFont val="WenQuanYi Zen Hei"/>
        <family val="2"/>
      </rPr>
      <t xml:space="preserve">）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</si>
</sst>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¥#,##0"/>
    <numFmt numFmtId="167" formatCode="\¥#,##0.00"/>
    <numFmt numFmtId="168" formatCode="0.00%"/>
    <numFmt numFmtId="169" formatCode="0.00"/>
    <numFmt numFmtId="170" formatCode="0.0%"/>
    <numFmt numFmtId="171" formatCode="0.0\倍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Meiryo UI"/>
      <family val="0"/>
      <charset val="1"/>
    </font>
    <font>
      <b val="true"/>
      <sz val="16"/>
      <color rgb="FF1F4E78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Meiryo UI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Meiryo UI"/>
      <family val="0"/>
      <charset val="1"/>
    </font>
    <font>
      <sz val="11"/>
      <name val="WenQuanYi Zen Hei"/>
      <family val="2"/>
    </font>
    <font>
      <sz val="11"/>
      <color rgb="FF0000FF"/>
      <name val="Meiryo UI"/>
      <family val="0"/>
      <charset val="1"/>
    </font>
    <font>
      <sz val="11"/>
      <name val="Meiryo UI"/>
      <family val="0"/>
      <charset val="1"/>
    </font>
    <font>
      <b val="true"/>
      <sz val="11"/>
      <name val="WenQuanYi Zen Hei"/>
      <family val="2"/>
    </font>
    <font>
      <b val="true"/>
      <sz val="11"/>
      <name val="Meiryo UI"/>
      <family val="0"/>
      <charset val="1"/>
    </font>
    <font>
      <sz val="10"/>
      <name val="WenQuanYi Zen Hei"/>
      <family val="2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E2EFDA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広告別 LPV単価（円）※低いほど効率的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サマリー!F5</c:f>
              <c:strCache>
                <c:ptCount val="1"/>
                <c:pt idx="0">
                  <c:v>LPV単価（円）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サマリー!$A$6:$A$9</c:f>
              <c:strCache>
                <c:ptCount val="4"/>
                <c:pt idx="0">
                  <c:v>台灣居民・免費招待 ①</c:v>
                </c:pt>
                <c:pt idx="1">
                  <c:v>台灣居民・免費招待 ②</c:v>
                </c:pt>
                <c:pt idx="2">
                  <c:v>台灣居民・免費招待 ③</c:v>
                </c:pt>
                <c:pt idx="3">
                  <c:v>22年のベストセラー</c:v>
                </c:pt>
              </c:strCache>
            </c:strRef>
          </c:cat>
          <c:val>
            <c:numRef>
              <c:f>サマリー!$F$6:$F$9</c:f>
              <c:numCache>
                <c:formatCode>\¥#,##0.00</c:formatCode>
                <c:ptCount val="4"/>
                <c:pt idx="0">
                  <c:v>7.53030303030303</c:v>
                </c:pt>
                <c:pt idx="1">
                  <c:v>10.0881355932203</c:v>
                </c:pt>
                <c:pt idx="2">
                  <c:v>8.63372093023256</c:v>
                </c:pt>
                <c:pt idx="3">
                  <c:v>19.5374449339207</c:v>
                </c:pt>
              </c:numCache>
            </c:numRef>
          </c:val>
        </c:ser>
        <c:gapWidth val="150"/>
        <c:overlap val="0"/>
        <c:axId val="89010755"/>
        <c:axId val="75459119"/>
      </c:barChart>
      <c:catAx>
        <c:axId val="8901075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59119"/>
        <c:crosses val="autoZero"/>
        <c:auto val="1"/>
        <c:lblAlgn val="ctr"/>
        <c:lblOffset val="100"/>
        <c:noMultiLvlLbl val="0"/>
      </c:catAx>
      <c:valAx>
        <c:axId val="75459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¥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107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10</xdr:row>
      <xdr:rowOff>116280</xdr:rowOff>
    </xdr:from>
    <xdr:to>
      <xdr:col>9</xdr:col>
      <xdr:colOff>262080</xdr:colOff>
      <xdr:row>23</xdr:row>
      <xdr:rowOff>159480</xdr:rowOff>
    </xdr:to>
    <xdr:graphicFrame>
      <xdr:nvGraphicFramePr>
        <xdr:cNvPr id="0" name="Chart 1"/>
        <xdr:cNvGraphicFramePr/>
      </xdr:nvGraphicFramePr>
      <xdr:xfrm>
        <a:off x="4229280" y="23050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13"/>
  </cols>
  <sheetData>
    <row r="1" customFormat="false" ht="20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1.5" hidden="false" customHeight="true" outlineLevel="0" collapsed="false">
      <c r="A5" s="3" t="s">
        <v>3</v>
      </c>
      <c r="B5" s="3" t="s">
        <v>4</v>
      </c>
      <c r="C5" s="3" t="s">
        <v>5</v>
      </c>
      <c r="D5" s="4" t="s">
        <v>6</v>
      </c>
      <c r="E5" s="3" t="s">
        <v>7</v>
      </c>
      <c r="F5" s="4" t="s">
        <v>8</v>
      </c>
      <c r="G5" s="4" t="s">
        <v>9</v>
      </c>
      <c r="H5" s="3" t="s">
        <v>10</v>
      </c>
      <c r="I5" s="3" t="s">
        <v>11</v>
      </c>
      <c r="J5" s="3" t="s">
        <v>12</v>
      </c>
      <c r="K5" s="4" t="s">
        <v>13</v>
      </c>
    </row>
    <row r="6" customFormat="false" ht="15" hidden="false" customHeight="false" outlineLevel="0" collapsed="false">
      <c r="A6" s="5" t="s">
        <v>14</v>
      </c>
      <c r="B6" s="6" t="n">
        <v>6631</v>
      </c>
      <c r="C6" s="6" t="n">
        <v>8163</v>
      </c>
      <c r="D6" s="6" t="n">
        <v>396</v>
      </c>
      <c r="E6" s="7" t="n">
        <v>2982</v>
      </c>
      <c r="F6" s="8" t="n">
        <f aca="false">IFERROR(E6/D6,0)</f>
        <v>7.53030303030303</v>
      </c>
      <c r="G6" s="9" t="n">
        <f aca="false">IFERROR(E6/C6*1000,0)</f>
        <v>365.306872473355</v>
      </c>
      <c r="H6" s="10" t="n">
        <f aca="false">IFERROR(D6/C6,0)</f>
        <v>0.0485115766262404</v>
      </c>
      <c r="I6" s="11" t="n">
        <f aca="false">IFERROR(C6/B6,0)</f>
        <v>1.23103604282914</v>
      </c>
      <c r="J6" s="12" t="n">
        <f aca="false">IFERROR(E6/$E$10,0)</f>
        <v>0.223153483499214</v>
      </c>
      <c r="K6" s="12" t="n">
        <f aca="false">IFERROR(D6/$D$10,0)</f>
        <v>0.31378763866878</v>
      </c>
    </row>
    <row r="7" customFormat="false" ht="15" hidden="false" customHeight="false" outlineLevel="0" collapsed="false">
      <c r="A7" s="13" t="s">
        <v>15</v>
      </c>
      <c r="B7" s="14" t="n">
        <v>6611</v>
      </c>
      <c r="C7" s="14" t="n">
        <v>8161</v>
      </c>
      <c r="D7" s="14" t="n">
        <v>295</v>
      </c>
      <c r="E7" s="15" t="n">
        <v>2976</v>
      </c>
      <c r="F7" s="16" t="n">
        <f aca="false">IFERROR(E7/D7,0)</f>
        <v>10.0881355932203</v>
      </c>
      <c r="G7" s="17" t="n">
        <f aca="false">IFERROR(E7/C7*1000,0)</f>
        <v>364.661193481191</v>
      </c>
      <c r="H7" s="18" t="n">
        <f aca="false">IFERROR(D7/C7,0)</f>
        <v>0.0361475309398358</v>
      </c>
      <c r="I7" s="19" t="n">
        <f aca="false">IFERROR(C7/B7,0)</f>
        <v>1.23445772197852</v>
      </c>
      <c r="J7" s="20" t="n">
        <f aca="false">IFERROR(E7/$E$10,0)</f>
        <v>0.222704482526379</v>
      </c>
      <c r="K7" s="20" t="n">
        <f aca="false">IFERROR(D7/$D$10,0)</f>
        <v>0.233755942947702</v>
      </c>
    </row>
    <row r="8" customFormat="false" ht="15" hidden="false" customHeight="false" outlineLevel="0" collapsed="false">
      <c r="A8" s="13" t="s">
        <v>16</v>
      </c>
      <c r="B8" s="14" t="n">
        <v>7195</v>
      </c>
      <c r="C8" s="14" t="n">
        <v>9119</v>
      </c>
      <c r="D8" s="14" t="n">
        <v>344</v>
      </c>
      <c r="E8" s="15" t="n">
        <v>2970</v>
      </c>
      <c r="F8" s="16" t="n">
        <f aca="false">IFERROR(E8/D8,0)</f>
        <v>8.63372093023256</v>
      </c>
      <c r="G8" s="17" t="n">
        <f aca="false">IFERROR(E8/C8*1000,0)</f>
        <v>325.693606755127</v>
      </c>
      <c r="H8" s="18" t="n">
        <f aca="false">IFERROR(D8/C8,0)</f>
        <v>0.0377234345871258</v>
      </c>
      <c r="I8" s="19" t="n">
        <f aca="false">IFERROR(C8/B8,0)</f>
        <v>1.26740792216817</v>
      </c>
      <c r="J8" s="20" t="n">
        <f aca="false">IFERROR(E8/$E$10,0)</f>
        <v>0.222255481553543</v>
      </c>
      <c r="K8" s="20" t="n">
        <f aca="false">IFERROR(D8/$D$10,0)</f>
        <v>0.272583201267829</v>
      </c>
    </row>
    <row r="9" customFormat="false" ht="15" hidden="false" customHeight="false" outlineLevel="0" collapsed="false">
      <c r="A9" s="21" t="s">
        <v>17</v>
      </c>
      <c r="B9" s="22" t="n">
        <v>7129</v>
      </c>
      <c r="C9" s="22" t="n">
        <v>10230</v>
      </c>
      <c r="D9" s="22" t="n">
        <v>227</v>
      </c>
      <c r="E9" s="23" t="n">
        <v>4435</v>
      </c>
      <c r="F9" s="24" t="n">
        <f aca="false">IFERROR(E9/D9,0)</f>
        <v>19.5374449339207</v>
      </c>
      <c r="G9" s="25" t="n">
        <f aca="false">IFERROR(E9/C9*1000,0)</f>
        <v>433.528836754643</v>
      </c>
      <c r="H9" s="26" t="n">
        <f aca="false">IFERROR(D9/C9,0)</f>
        <v>0.0221896383186706</v>
      </c>
      <c r="I9" s="27" t="n">
        <f aca="false">IFERROR(C9/B9,0)</f>
        <v>1.43498386870529</v>
      </c>
      <c r="J9" s="28" t="n">
        <f aca="false">IFERROR(E9/$E$10,0)</f>
        <v>0.331886552420864</v>
      </c>
      <c r="K9" s="28" t="n">
        <f aca="false">IFERROR(D9/$D$10,0)</f>
        <v>0.179873217115689</v>
      </c>
    </row>
    <row r="10" customFormat="false" ht="15" hidden="false" customHeight="false" outlineLevel="0" collapsed="false">
      <c r="A10" s="29" t="s">
        <v>18</v>
      </c>
      <c r="B10" s="30" t="n">
        <f aca="false">SUM(B6:B9)</f>
        <v>27566</v>
      </c>
      <c r="C10" s="30" t="n">
        <f aca="false">SUM(C6:C9)</f>
        <v>35673</v>
      </c>
      <c r="D10" s="30" t="n">
        <f aca="false">SUM(D6:D9)</f>
        <v>1262</v>
      </c>
      <c r="E10" s="31" t="n">
        <f aca="false">SUM(E6:E9)</f>
        <v>13363</v>
      </c>
      <c r="F10" s="32" t="n">
        <f aca="false">IFERROR(E10/D10,0)</f>
        <v>10.5887480190174</v>
      </c>
      <c r="G10" s="31" t="n">
        <f aca="false">IFERROR(E10/C10*1000,0)</f>
        <v>374.597034171502</v>
      </c>
      <c r="H10" s="33" t="n">
        <f aca="false">IFERROR(D10/C10,0)</f>
        <v>0.0353768956914193</v>
      </c>
      <c r="I10" s="34" t="n">
        <f aca="false">IFERROR(C10/B10,0)</f>
        <v>1.29409417398244</v>
      </c>
      <c r="J10" s="35" t="n">
        <f aca="false">SUM(J6:J9)</f>
        <v>1</v>
      </c>
      <c r="K10" s="35" t="n">
        <f aca="false">SUM(K6:K9)</f>
        <v>1</v>
      </c>
    </row>
    <row r="12" customFormat="false" ht="15" hidden="false" customHeight="false" outlineLevel="0" collapsed="false">
      <c r="A12" s="36" t="s">
        <v>19</v>
      </c>
    </row>
    <row r="13" customFormat="false" ht="15" hidden="false" customHeight="false" outlineLevel="0" collapsed="false">
      <c r="A13" s="13" t="s">
        <v>7</v>
      </c>
      <c r="B13" s="37" t="n">
        <f aca="false">SUM(E6:E8)</f>
        <v>8928</v>
      </c>
    </row>
    <row r="14" customFormat="false" ht="15" hidden="false" customHeight="false" outlineLevel="0" collapsed="false">
      <c r="A14" s="38" t="s">
        <v>20</v>
      </c>
      <c r="B14" s="39" t="n">
        <f aca="false">SUM(D6:D8)</f>
        <v>1035</v>
      </c>
    </row>
    <row r="15" customFormat="false" ht="15" hidden="false" customHeight="false" outlineLevel="0" collapsed="false">
      <c r="A15" s="38" t="s">
        <v>21</v>
      </c>
      <c r="B15" s="40" t="n">
        <f aca="false">IFERROR(B13/B14,0)</f>
        <v>8.62608695652174</v>
      </c>
    </row>
    <row r="16" customFormat="false" ht="15" hidden="false" customHeight="false" outlineLevel="0" collapsed="false">
      <c r="A16" s="13" t="s">
        <v>22</v>
      </c>
      <c r="B16" s="41" t="n">
        <f aca="false">IFERROR(F9/B15,0)</f>
        <v>2.26492557197669</v>
      </c>
    </row>
    <row r="17" customFormat="false" ht="15" hidden="false" customHeight="false" outlineLevel="0" collapsed="false">
      <c r="A17" s="13" t="s">
        <v>23</v>
      </c>
      <c r="B17" s="39" t="n">
        <f aca="false">IFERROR(E9/F6,0)</f>
        <v>588.953722334004</v>
      </c>
      <c r="C17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42" t="s">
        <v>25</v>
      </c>
    </row>
    <row r="3" customFormat="false" ht="15" hidden="false" customHeight="false" outlineLevel="0" collapsed="false">
      <c r="A3" s="43" t="s">
        <v>26</v>
      </c>
      <c r="B3" s="44"/>
    </row>
    <row r="4" customFormat="false" ht="48" hidden="false" customHeight="true" outlineLevel="0" collapsed="false">
      <c r="A4" s="45" t="s">
        <v>27</v>
      </c>
      <c r="B4" s="46" t="s">
        <v>28</v>
      </c>
    </row>
    <row r="5" customFormat="false" ht="48" hidden="false" customHeight="true" outlineLevel="0" collapsed="false">
      <c r="A5" s="45" t="s">
        <v>29</v>
      </c>
      <c r="B5" s="47" t="s">
        <v>30</v>
      </c>
    </row>
    <row r="6" customFormat="false" ht="48" hidden="false" customHeight="true" outlineLevel="0" collapsed="false">
      <c r="A6" s="45" t="s">
        <v>31</v>
      </c>
      <c r="B6" s="46" t="s">
        <v>32</v>
      </c>
    </row>
    <row r="7" customFormat="false" ht="48" hidden="false" customHeight="true" outlineLevel="0" collapsed="false">
      <c r="A7" s="45" t="s">
        <v>33</v>
      </c>
      <c r="B7" s="46" t="s">
        <v>34</v>
      </c>
    </row>
    <row r="9" customFormat="false" ht="15" hidden="false" customHeight="false" outlineLevel="0" collapsed="false">
      <c r="A9" s="43" t="s">
        <v>35</v>
      </c>
      <c r="B9" s="44"/>
    </row>
    <row r="10" customFormat="false" ht="48" hidden="false" customHeight="true" outlineLevel="0" collapsed="false">
      <c r="A10" s="48" t="s">
        <v>36</v>
      </c>
      <c r="B10" s="47" t="s">
        <v>37</v>
      </c>
    </row>
    <row r="11" customFormat="false" ht="48" hidden="false" customHeight="true" outlineLevel="0" collapsed="false">
      <c r="A11" s="48" t="s">
        <v>38</v>
      </c>
      <c r="B11" s="47" t="s">
        <v>39</v>
      </c>
    </row>
    <row r="12" customFormat="false" ht="48" hidden="false" customHeight="true" outlineLevel="0" collapsed="false">
      <c r="A12" s="48" t="s">
        <v>40</v>
      </c>
      <c r="B12" s="46" t="s">
        <v>41</v>
      </c>
    </row>
    <row r="14" customFormat="false" ht="15" hidden="false" customHeight="false" outlineLevel="0" collapsed="false">
      <c r="A14" s="43" t="s">
        <v>42</v>
      </c>
      <c r="B14" s="44"/>
    </row>
    <row r="15" customFormat="false" ht="48" hidden="false" customHeight="true" outlineLevel="0" collapsed="false">
      <c r="A15" s="48" t="s">
        <v>43</v>
      </c>
      <c r="B15" s="47" t="s">
        <v>44</v>
      </c>
    </row>
    <row r="16" customFormat="false" ht="48" hidden="false" customHeight="true" outlineLevel="0" collapsed="false">
      <c r="A16" s="48" t="s">
        <v>45</v>
      </c>
      <c r="B16" s="47" t="s">
        <v>46</v>
      </c>
    </row>
    <row r="17" customFormat="false" ht="48" hidden="false" customHeight="true" outlineLevel="0" collapsed="false">
      <c r="A17" s="48" t="s">
        <v>47</v>
      </c>
      <c r="B17" s="47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7" min="3" style="0" width="16"/>
    <col collapsed="false" customWidth="true" hidden="false" outlineLevel="0" max="8" min="8" style="0" width="34"/>
    <col collapsed="false" customWidth="true" hidden="false" outlineLevel="0" max="16" min="9" style="0" width="16"/>
  </cols>
  <sheetData>
    <row r="1" customFormat="false" ht="15" hidden="false" customHeight="false" outlineLevel="0" collapsed="false">
      <c r="A1" s="49" t="s">
        <v>49</v>
      </c>
      <c r="B1" s="49" t="s">
        <v>50</v>
      </c>
      <c r="C1" s="49" t="s">
        <v>51</v>
      </c>
      <c r="D1" s="49" t="s">
        <v>52</v>
      </c>
      <c r="E1" s="49" t="s">
        <v>4</v>
      </c>
      <c r="F1" s="49" t="s">
        <v>5</v>
      </c>
      <c r="G1" s="49" t="s">
        <v>11</v>
      </c>
      <c r="H1" s="49" t="s">
        <v>53</v>
      </c>
      <c r="I1" s="49" t="s">
        <v>54</v>
      </c>
      <c r="J1" s="49" t="s">
        <v>55</v>
      </c>
      <c r="K1" s="49" t="s">
        <v>56</v>
      </c>
      <c r="L1" s="49" t="s">
        <v>57</v>
      </c>
      <c r="M1" s="49" t="s">
        <v>58</v>
      </c>
      <c r="N1" s="49" t="s">
        <v>59</v>
      </c>
      <c r="O1" s="49" t="s">
        <v>60</v>
      </c>
      <c r="P1" s="49" t="s">
        <v>61</v>
      </c>
    </row>
    <row r="2" customFormat="false" ht="15" hidden="false" customHeight="false" outlineLevel="0" collapsed="false">
      <c r="A2" s="13" t="s">
        <v>62</v>
      </c>
      <c r="B2" s="38" t="s">
        <v>63</v>
      </c>
      <c r="C2" s="38" t="s">
        <v>64</v>
      </c>
      <c r="D2" s="38" t="s">
        <v>65</v>
      </c>
      <c r="E2" s="13" t="n">
        <v>7129</v>
      </c>
      <c r="F2" s="13" t="n">
        <v>10230</v>
      </c>
      <c r="G2" s="13" t="n">
        <v>1.43498387</v>
      </c>
      <c r="H2" s="13" t="s">
        <v>66</v>
      </c>
      <c r="I2" s="13" t="s">
        <v>67</v>
      </c>
      <c r="J2" s="13" t="n">
        <v>227</v>
      </c>
      <c r="K2" s="13" t="n">
        <v>4435</v>
      </c>
      <c r="L2" s="13" t="n">
        <v>19.53744493</v>
      </c>
      <c r="M2" s="13"/>
      <c r="N2" s="13"/>
      <c r="O2" s="38" t="s">
        <v>68</v>
      </c>
      <c r="P2" s="38" t="s">
        <v>69</v>
      </c>
    </row>
    <row r="3" customFormat="false" ht="15" hidden="false" customHeight="false" outlineLevel="0" collapsed="false">
      <c r="A3" s="13" t="s">
        <v>62</v>
      </c>
      <c r="B3" s="13" t="s">
        <v>62</v>
      </c>
      <c r="C3" s="38" t="s">
        <v>64</v>
      </c>
      <c r="D3" s="38" t="s">
        <v>70</v>
      </c>
      <c r="E3" s="13" t="n">
        <v>7129</v>
      </c>
      <c r="F3" s="13" t="n">
        <v>10230</v>
      </c>
      <c r="G3" s="13" t="n">
        <v>1.43498387</v>
      </c>
      <c r="H3" s="13" t="s">
        <v>66</v>
      </c>
      <c r="I3" s="13" t="s">
        <v>67</v>
      </c>
      <c r="J3" s="13" t="n">
        <v>227</v>
      </c>
      <c r="K3" s="13" t="n">
        <v>4435</v>
      </c>
      <c r="L3" s="13" t="n">
        <v>19.53744493</v>
      </c>
      <c r="M3" s="38" t="s">
        <v>71</v>
      </c>
      <c r="N3" s="38" t="s">
        <v>72</v>
      </c>
      <c r="O3" s="38" t="s">
        <v>68</v>
      </c>
      <c r="P3" s="38" t="s">
        <v>69</v>
      </c>
    </row>
    <row r="4" customFormat="false" ht="15" hidden="false" customHeight="false" outlineLevel="0" collapsed="false">
      <c r="A4" s="13" t="s">
        <v>73</v>
      </c>
      <c r="B4" s="38" t="s">
        <v>63</v>
      </c>
      <c r="C4" s="38" t="s">
        <v>64</v>
      </c>
      <c r="D4" s="38" t="s">
        <v>65</v>
      </c>
      <c r="E4" s="13" t="n">
        <v>6631</v>
      </c>
      <c r="F4" s="13" t="n">
        <v>8163</v>
      </c>
      <c r="G4" s="13" t="n">
        <v>1.23103604</v>
      </c>
      <c r="H4" s="13" t="s">
        <v>66</v>
      </c>
      <c r="I4" s="13" t="s">
        <v>67</v>
      </c>
      <c r="J4" s="13" t="n">
        <v>396</v>
      </c>
      <c r="K4" s="13" t="n">
        <v>2982</v>
      </c>
      <c r="L4" s="13" t="n">
        <v>7.53030303</v>
      </c>
      <c r="M4" s="13"/>
      <c r="N4" s="13"/>
      <c r="O4" s="38" t="s">
        <v>68</v>
      </c>
      <c r="P4" s="38" t="s">
        <v>69</v>
      </c>
    </row>
    <row r="5" customFormat="false" ht="15" hidden="false" customHeight="false" outlineLevel="0" collapsed="false">
      <c r="A5" s="13" t="s">
        <v>73</v>
      </c>
      <c r="B5" s="13" t="s">
        <v>73</v>
      </c>
      <c r="C5" s="38" t="s">
        <v>64</v>
      </c>
      <c r="D5" s="38" t="s">
        <v>70</v>
      </c>
      <c r="E5" s="13" t="n">
        <v>6631</v>
      </c>
      <c r="F5" s="13" t="n">
        <v>8163</v>
      </c>
      <c r="G5" s="13" t="n">
        <v>1.23103604</v>
      </c>
      <c r="H5" s="13" t="s">
        <v>66</v>
      </c>
      <c r="I5" s="13" t="s">
        <v>67</v>
      </c>
      <c r="J5" s="13" t="n">
        <v>396</v>
      </c>
      <c r="K5" s="13" t="n">
        <v>2982</v>
      </c>
      <c r="L5" s="13" t="n">
        <v>7.53030303</v>
      </c>
      <c r="M5" s="38" t="s">
        <v>71</v>
      </c>
      <c r="N5" s="38" t="s">
        <v>72</v>
      </c>
      <c r="O5" s="38" t="s">
        <v>68</v>
      </c>
      <c r="P5" s="38" t="s">
        <v>69</v>
      </c>
    </row>
    <row r="6" customFormat="false" ht="15" hidden="false" customHeight="false" outlineLevel="0" collapsed="false">
      <c r="A6" s="13" t="s">
        <v>73</v>
      </c>
      <c r="B6" s="38" t="s">
        <v>63</v>
      </c>
      <c r="C6" s="38" t="s">
        <v>64</v>
      </c>
      <c r="D6" s="38" t="s">
        <v>65</v>
      </c>
      <c r="E6" s="13" t="n">
        <v>6611</v>
      </c>
      <c r="F6" s="13" t="n">
        <v>8161</v>
      </c>
      <c r="G6" s="13" t="n">
        <v>1.23445772</v>
      </c>
      <c r="H6" s="13" t="s">
        <v>66</v>
      </c>
      <c r="I6" s="13" t="s">
        <v>67</v>
      </c>
      <c r="J6" s="13" t="n">
        <v>295</v>
      </c>
      <c r="K6" s="13" t="n">
        <v>2976</v>
      </c>
      <c r="L6" s="13" t="n">
        <v>10.08813559</v>
      </c>
      <c r="M6" s="13"/>
      <c r="N6" s="13"/>
      <c r="O6" s="38" t="s">
        <v>68</v>
      </c>
      <c r="P6" s="38" t="s">
        <v>69</v>
      </c>
    </row>
    <row r="7" customFormat="false" ht="15" hidden="false" customHeight="false" outlineLevel="0" collapsed="false">
      <c r="A7" s="13" t="s">
        <v>73</v>
      </c>
      <c r="B7" s="13" t="s">
        <v>73</v>
      </c>
      <c r="C7" s="38" t="s">
        <v>64</v>
      </c>
      <c r="D7" s="38" t="s">
        <v>70</v>
      </c>
      <c r="E7" s="13" t="n">
        <v>6611</v>
      </c>
      <c r="F7" s="13" t="n">
        <v>8161</v>
      </c>
      <c r="G7" s="13" t="n">
        <v>1.23445772</v>
      </c>
      <c r="H7" s="13" t="s">
        <v>66</v>
      </c>
      <c r="I7" s="13" t="s">
        <v>67</v>
      </c>
      <c r="J7" s="13" t="n">
        <v>295</v>
      </c>
      <c r="K7" s="13" t="n">
        <v>2976</v>
      </c>
      <c r="L7" s="13" t="n">
        <v>10.08813559</v>
      </c>
      <c r="M7" s="38" t="s">
        <v>71</v>
      </c>
      <c r="N7" s="38" t="s">
        <v>72</v>
      </c>
      <c r="O7" s="38" t="s">
        <v>68</v>
      </c>
      <c r="P7" s="38" t="s">
        <v>69</v>
      </c>
    </row>
    <row r="8" customFormat="false" ht="15" hidden="false" customHeight="false" outlineLevel="0" collapsed="false">
      <c r="A8" s="13" t="s">
        <v>73</v>
      </c>
      <c r="B8" s="38" t="s">
        <v>63</v>
      </c>
      <c r="C8" s="38" t="s">
        <v>64</v>
      </c>
      <c r="D8" s="38" t="s">
        <v>65</v>
      </c>
      <c r="E8" s="13" t="n">
        <v>7195</v>
      </c>
      <c r="F8" s="13" t="n">
        <v>9119</v>
      </c>
      <c r="G8" s="13" t="n">
        <v>1.26740792</v>
      </c>
      <c r="H8" s="13" t="s">
        <v>66</v>
      </c>
      <c r="I8" s="13" t="s">
        <v>67</v>
      </c>
      <c r="J8" s="13" t="n">
        <v>344</v>
      </c>
      <c r="K8" s="13" t="n">
        <v>2970</v>
      </c>
      <c r="L8" s="13" t="n">
        <v>8.63372093</v>
      </c>
      <c r="M8" s="13"/>
      <c r="N8" s="13"/>
      <c r="O8" s="38" t="s">
        <v>68</v>
      </c>
      <c r="P8" s="38" t="s">
        <v>69</v>
      </c>
    </row>
    <row r="9" customFormat="false" ht="15" hidden="false" customHeight="false" outlineLevel="0" collapsed="false">
      <c r="A9" s="13" t="s">
        <v>73</v>
      </c>
      <c r="B9" s="13" t="s">
        <v>73</v>
      </c>
      <c r="C9" s="38" t="s">
        <v>64</v>
      </c>
      <c r="D9" s="38" t="s">
        <v>70</v>
      </c>
      <c r="E9" s="13" t="n">
        <v>7195</v>
      </c>
      <c r="F9" s="13" t="n">
        <v>9119</v>
      </c>
      <c r="G9" s="13" t="n">
        <v>1.26740792</v>
      </c>
      <c r="H9" s="13" t="s">
        <v>66</v>
      </c>
      <c r="I9" s="13" t="s">
        <v>67</v>
      </c>
      <c r="J9" s="13" t="n">
        <v>344</v>
      </c>
      <c r="K9" s="13" t="n">
        <v>2970</v>
      </c>
      <c r="L9" s="13" t="n">
        <v>8.63372093</v>
      </c>
      <c r="M9" s="38" t="s">
        <v>71</v>
      </c>
      <c r="N9" s="38" t="s">
        <v>72</v>
      </c>
      <c r="O9" s="38" t="s">
        <v>68</v>
      </c>
      <c r="P9" s="38" t="s">
        <v>69</v>
      </c>
    </row>
    <row r="11" customFormat="false" ht="15" hidden="false" customHeight="false" outlineLevel="0" collapsed="false">
      <c r="A11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2026-10-27T07:44:38Z</dcterms:created>
  <dc:creator>openpyxl</dc:creator>
  <dc:description/>
  <dc:language>en-US</dc:language>
  <cp:lastModifiedBy/>
  <dcterms:modified xsi:type="dcterms:W3CDTF">2026-10-27T07:44:48Z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